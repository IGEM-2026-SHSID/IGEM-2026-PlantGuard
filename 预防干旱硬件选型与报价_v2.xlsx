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itHub\IGEM-2026-PlantGuard\"/>
    </mc:Choice>
  </mc:AlternateContent>
  <xr:revisionPtr revIDLastSave="0" documentId="13_ncr:1_{D8894065-A0BD-4CB9-B4DB-405F7FB9A65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选型与报价总表" sheetId="1" r:id="rId1"/>
    <sheet name="选型建议" sheetId="2" r:id="rId2"/>
    <sheet name="预算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/>
  <c r="C8" i="3"/>
  <c r="C7" i="3"/>
  <c r="C6" i="3"/>
  <c r="C5" i="3"/>
  <c r="C4" i="3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28" i="1" l="1"/>
  <c r="J28" i="1" s="1"/>
  <c r="C10" i="3"/>
  <c r="D7" i="3"/>
  <c r="D5" i="3"/>
  <c r="D8" i="3"/>
  <c r="D9" i="3"/>
  <c r="D4" i="3"/>
  <c r="D6" i="3"/>
</calcChain>
</file>

<file path=xl/sharedStrings.xml><?xml version="1.0" encoding="utf-8"?>
<sst xmlns="http://schemas.openxmlformats.org/spreadsheetml/2006/main" count="219" uniqueCount="149">
  <si>
    <t>预防干旱系统 - 硬件选型与报价总表 (V2.0)</t>
  </si>
  <si>
    <t>序号</t>
  </si>
  <si>
    <t>模块</t>
  </si>
  <si>
    <t>组件名称</t>
  </si>
  <si>
    <t>推荐型号</t>
  </si>
  <si>
    <t>规格参数</t>
  </si>
  <si>
    <t>单位</t>
  </si>
  <si>
    <t>单价(元)</t>
  </si>
  <si>
    <t>数量</t>
  </si>
  <si>
    <t>小计(元)</t>
  </si>
  <si>
    <t>购买链接</t>
  </si>
  <si>
    <t>干旱监测模块</t>
  </si>
  <si>
    <t>温湿度传感器</t>
  </si>
  <si>
    <t>AHT30模块</t>
  </si>
  <si>
    <t>I2C接口, ±2%RH湿度精度, ±0.3°C温度精度, 0-100%RH</t>
  </si>
  <si>
    <t>个</t>
  </si>
  <si>
    <t>点击查看</t>
  </si>
  <si>
    <t>光谱传感器</t>
  </si>
  <si>
    <t>AS7341模块</t>
  </si>
  <si>
    <t>11通道光谱仪, 350-1000nm, 8个可见光通道+1个NIR+透明通道, 16bit ADC, I2C, 3.3V/5V</t>
  </si>
  <si>
    <t>空气质量传感器</t>
  </si>
  <si>
    <t>MQ-135模块</t>
  </si>
  <si>
    <t>氨气/苯/烟雾检测, 模拟+数字输出, 5V</t>
  </si>
  <si>
    <t>摄像模块</t>
  </si>
  <si>
    <t>ESP32-CAM (OV2640)</t>
  </si>
  <si>
    <t>WiFi+蓝牙, 200万像素, JPEG输出, 支持TF卡, 5V</t>
  </si>
  <si>
    <t>电压比较器模块</t>
  </si>
  <si>
    <t>LM393模块</t>
  </si>
  <si>
    <t>双路比较, 4.5-28V宽电压, 带LED指示</t>
  </si>
  <si>
    <t>补水抗旱模块</t>
  </si>
  <si>
    <t>微型潜水泵</t>
  </si>
  <si>
    <t>5V微型静音水泵</t>
  </si>
  <si>
    <t>5V/3W, 流量120L/H, 扬程1.5m, 直流水泵</t>
  </si>
  <si>
    <t>5V继电器模块</t>
  </si>
  <si>
    <t>单路继电器模块</t>
  </si>
  <si>
    <t>5V低电平触发, 10A/250VAC, 带光耦隔离</t>
  </si>
  <si>
    <t>硅胶水管</t>
  </si>
  <si>
    <t>4mm内径硅胶管</t>
  </si>
  <si>
    <t>食品级硅胶, 耐压耐温, 1米</t>
  </si>
  <si>
    <t>米</t>
  </si>
  <si>
    <t>App报警模块(主控)</t>
  </si>
  <si>
    <t>主控芯片</t>
  </si>
  <si>
    <t>ESP32-S3-DevKitC-1</t>
  </si>
  <si>
    <t>Xtensa双核240MHz, WiFi+BT5, 8MB Flash, 8MB PSRAM</t>
  </si>
  <si>
    <t>USB下载线</t>
  </si>
  <si>
    <t>Type-C数据线</t>
  </si>
  <si>
    <t>Type-C to USB-A, 1米, 支持数据传输</t>
  </si>
  <si>
    <t>条</t>
  </si>
  <si>
    <t>结构框架</t>
  </si>
  <si>
    <t>欧标铝型材4040</t>
  </si>
  <si>
    <t>6063-T5铝合金型材</t>
  </si>
  <si>
    <t>40x40mm, 欧标T型槽, 银色阳极氧化, 长度1米(共需5米)</t>
  </si>
  <si>
    <t>欧标角码连接件</t>
  </si>
  <si>
    <t>4040欧标角码(10个装)</t>
  </si>
  <si>
    <t>铝合金材质, 90度直角连接, M8螺栓孔位, 阳极氧化</t>
  </si>
  <si>
    <t>套</t>
  </si>
  <si>
    <t>欧标一字连接件</t>
  </si>
  <si>
    <t>4040欧标一字连接件</t>
  </si>
  <si>
    <t>碳钢材质, 用于型材对接延长, M8螺栓固定</t>
  </si>
  <si>
    <t>M8-T型螺母</t>
  </si>
  <si>
    <t>欧标弹片螺母(50个装)</t>
  </si>
  <si>
    <t>碳钢镀锌, 内置弹片, 自锁功能, M8螺纹</t>
  </si>
  <si>
    <t>M8内六角螺栓</t>
  </si>
  <si>
    <t>8.8级镀锌螺栓</t>
  </si>
  <si>
    <t>M8x20mm, 内六角头, 高强度, 铝型材专用</t>
  </si>
  <si>
    <t>铝型材端盖</t>
  </si>
  <si>
    <t>4040端盖堵头(10个装)</t>
  </si>
  <si>
    <t>黑色塑料, 铝合金型材专用, 装饰防水</t>
  </si>
  <si>
    <t>辅助材料</t>
  </si>
  <si>
    <t>杜邦线套装</t>
  </si>
  <si>
    <t>40P彩排线+公母头</t>
  </si>
  <si>
    <t>40根/排, 20cm, 公对公+公对母, 24AWG</t>
  </si>
  <si>
    <t>面包板</t>
  </si>
  <si>
    <t>830孔面包板</t>
  </si>
  <si>
    <t>830孔, 双边电源轨, 5.5x16.8cm</t>
  </si>
  <si>
    <t>块</t>
  </si>
  <si>
    <t>3.3V/5V电源模块</t>
  </si>
  <si>
    <t>AMS1117稳压模块</t>
  </si>
  <si>
    <t>输入4.5-12V, 输出3.3V/5V可选, 1.5A</t>
  </si>
  <si>
    <t>18650锂电池</t>
  </si>
  <si>
    <t>18650 3.7V 3400mAh</t>
  </si>
  <si>
    <t>带保护板, 3.7V, 3400mAh, 尺寸18x65mm</t>
  </si>
  <si>
    <t>节</t>
  </si>
  <si>
    <t>18650电池座</t>
  </si>
  <si>
    <t>双节18650电池座</t>
  </si>
  <si>
    <t>带DC头, 2x18650串联, 3.7V-7.4V输出</t>
  </si>
  <si>
    <t>安装工具</t>
  </si>
  <si>
    <t>内六角扳手套</t>
  </si>
  <si>
    <t>S2钢球头9件套</t>
  </si>
  <si>
    <t>1.5-10mm, S2合金钢, 球头设计, 高硬度</t>
  </si>
  <si>
    <t>橡皮锤</t>
  </si>
  <si>
    <t>小橡皮锤</t>
  </si>
  <si>
    <t>软头不伤型材, 用于校正安装位置</t>
  </si>
  <si>
    <t>把</t>
  </si>
  <si>
    <t>螺丝刀套装</t>
  </si>
  <si>
    <t>十字+一字螺丝刀</t>
  </si>
  <si>
    <t>带磁性, 碳钢材质, 常用尺寸套装</t>
  </si>
  <si>
    <t>合计</t>
  </si>
  <si>
    <t>硬件选型建议与理由</t>
  </si>
  <si>
    <t>组件</t>
  </si>
  <si>
    <t>选型理由</t>
  </si>
  <si>
    <t>注意事项</t>
  </si>
  <si>
    <t>可替代方案</t>
  </si>
  <si>
    <t>文档指定DHT30，但AHT30精度更高(±2%RH, ±0.3°C)，价格相近，支持I2C接口，库函数丰富</t>
  </si>
  <si>
    <t>I2C地址固定为0x38，避免与其他I2C设备地址冲突</t>
  </si>
  <si>
    <t>可选SHT30 (±2%RH, ±0.2°C)，价格约¥15</t>
  </si>
  <si>
    <t>替代原BH1750，AS7341是11通道光谱仪，可检测8个可见光波段+近红外+透明通道，非常适合凝胶凝珠颜色变化的多波段精确分析；相比BH1750仅测光强，AS7341能区分不同颜色，对干旱预警更有价值</t>
  </si>
  <si>
    <t>需注意模块电压选择(3.3V/5V)；板载LED可用于暗光环境补光；建议配合Arduino/ESP32库使用</t>
  </si>
  <si>
    <t>可选AS7343(升级版)或TCS34725(颜色传感器)，但AS7341性价比最高</t>
  </si>
  <si>
    <t>MQ系列是空气质量检测的经典方案，MQ-135对氨气/苯/烟雾灵敏，价格便宜，库函数丰富</t>
  </si>
  <si>
    <t>预热时间约1分钟，读数需标定；建议配合比较器模块做阈值报警</t>
  </si>
  <si>
    <t>可选MQ-2(烟雾)或MQ-7(CO)，根据检测目标选择</t>
  </si>
  <si>
    <t>ESP32-CAM内置ESP32-S芯片，支持WiFi传输图像，集成OV2640摄像头，体积小巧，价格适中</t>
  </si>
  <si>
    <t>需要单独5V/2A供电，否则图像可能出现水纹；GPIO0需接地烧录固件</t>
  </si>
  <si>
    <t>可选ESP32-S3-CAM或M5Stack系列</t>
  </si>
  <si>
    <t>文档要求电压比较器做凝珠变色信号处理，LM393是经典双路比较器，支持宽电压(4.5-28V)，带LED指示</t>
  </si>
  <si>
    <t>比较阈值通过电位器调节，建议配合示波器校准</t>
  </si>
  <si>
    <t>可选LM339(四路)或专用阈值检测IC</t>
  </si>
  <si>
    <t>灌溉场景需要静音水泵，5V供电兼容ESP32系统，流量120L/H可满足小规模灌溉</t>
  </si>
  <si>
    <t>进水口需加装过滤网防止堵塞；工作时电流约300mA，需单独供电</t>
  </si>
  <si>
    <t>可选6V/12V水泵，但需配合相应继电器和电源</t>
  </si>
  <si>
    <t>控制水泵开关，低电平触发与Arduino/ESP32逻辑匹配，带光耦隔离保护主控</t>
  </si>
  <si>
    <t>NC端和NO端不要接错；每路继电器需单独5V供电</t>
  </si>
  <si>
    <t>可选MOS管无触点继电器，无噪音但价格稍高</t>
  </si>
  <si>
    <t>文档指定ESP32-S3，支持WiFi+蓝牙5，Xtensa双核240MHz，适合边缘AI和图像处理，外设接口丰富</t>
  </si>
  <si>
    <t>开发时需配置WiFi信息；建议外接天线增强信号</t>
  </si>
  <si>
    <t>可选ESP32-C3(更便宜)或ESP32-PICO(集成度高)</t>
  </si>
  <si>
    <t>40x40mm欧标工业铝型材，强度高、耐腐蚀、可重复拆装，适合搭建传感器支架和设备框架</t>
  </si>
  <si>
    <t>长度按需切割，余量留5-10%；搬运时注意保护T型槽</t>
  </si>
  <si>
    <t>可选4080(更粗壮)或3030(更轻巧)，根据承重需求选择</t>
  </si>
  <si>
    <t>4040欧标角码</t>
  </si>
  <si>
    <t>90度直角连接，配合M8螺栓和T型螺母使用，安装牢固；10个装便于批量采购</t>
  </si>
  <si>
    <t>注意区分欧标和国标，两者槽型不同</t>
  </si>
  <si>
    <t>可选三维连接件或活动铰链，根据结构需求选择</t>
  </si>
  <si>
    <t>铝型材专用安装工具，球头设计不易损坏螺栓；S2钢硬度高耐用</t>
  </si>
  <si>
    <t>选择球头而非平头，球头更适合深入T型槽操作</t>
  </si>
  <si>
    <t>可选普通内六角扳手，但球头更适合铝型材场景</t>
  </si>
  <si>
    <t>配合ESP32-CAM和传感器的户外供电需求，3400mAh容量可支持2-3天续航</t>
  </si>
  <si>
    <t>必须带保护板防止过充过放；需配合充电管理模块</t>
  </si>
  <si>
    <t>可选磷酸铁锂电池(3.2V)更安全但容量较低</t>
  </si>
  <si>
    <t>预算汇总</t>
  </si>
  <si>
    <t>模块分类</t>
  </si>
  <si>
    <t>预估数量</t>
  </si>
  <si>
    <t>预估金额(元)</t>
  </si>
  <si>
    <t>占比</t>
  </si>
  <si>
    <t>结构框架(铝型材)</t>
  </si>
  <si>
    <t>总计</t>
  </si>
  <si>
    <t>套单价</t>
    <phoneticPr fontId="8" type="noConversion"/>
  </si>
  <si>
    <t>总价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</si>
</sst>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A7D00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4" borderId="2" applyNumberFormat="0" applyAlignment="0" applyProtection="0">
      <alignment vertical="center"/>
    </xf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7" fillId="4" borderId="2" xfId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">
    <cellStyle name="常规" xfId="0" builtinId="0"/>
    <cellStyle name="计算" xfId="1" builtin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1688.com/offer/633127954308.html" TargetMode="External"/><Relationship Id="rId7" Type="http://schemas.openxmlformats.org/officeDocument/2006/relationships/hyperlink" Target="https://detail.1688.com/offer/722622747241.html" TargetMode="External"/><Relationship Id="rId2" Type="http://schemas.openxmlformats.org/officeDocument/2006/relationships/hyperlink" Target="https://detail.1688.com/offer/826671475362.html" TargetMode="External"/><Relationship Id="rId1" Type="http://schemas.openxmlformats.org/officeDocument/2006/relationships/hyperlink" Target="https://detail.1688.com/offer/731763870539.html" TargetMode="External"/><Relationship Id="rId6" Type="http://schemas.openxmlformats.org/officeDocument/2006/relationships/hyperlink" Target="https://detail.1688.com/offer/744862480964.html" TargetMode="External"/><Relationship Id="rId5" Type="http://schemas.openxmlformats.org/officeDocument/2006/relationships/hyperlink" Target="https://detail.1688.com/offer/732422314630.html" TargetMode="External"/><Relationship Id="rId4" Type="http://schemas.openxmlformats.org/officeDocument/2006/relationships/hyperlink" Target="https://detail.1688.com/offer/65809343954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4" zoomScale="85" zoomScaleNormal="85" workbookViewId="0">
      <selection activeCell="J34" sqref="J34"/>
    </sheetView>
  </sheetViews>
  <sheetFormatPr defaultRowHeight="13.5"/>
  <cols>
    <col min="1" max="1" width="6" customWidth="1"/>
    <col min="2" max="3" width="18" customWidth="1"/>
    <col min="4" max="4" width="28" customWidth="1"/>
    <col min="5" max="5" width="50" customWidth="1"/>
    <col min="6" max="6" width="6" customWidth="1"/>
    <col min="7" max="7" width="12" customWidth="1"/>
    <col min="8" max="8" width="8" customWidth="1"/>
    <col min="9" max="9" width="12" customWidth="1"/>
    <col min="10" max="10" width="25" customWidth="1"/>
  </cols>
  <sheetData>
    <row r="1" spans="1:10" ht="3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24.9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30" customHeight="1">
      <c r="A4" s="2">
        <v>1</v>
      </c>
      <c r="B4" s="2" t="s">
        <v>11</v>
      </c>
      <c r="C4" s="3" t="s">
        <v>12</v>
      </c>
      <c r="D4" s="2" t="s">
        <v>13</v>
      </c>
      <c r="E4" s="2" t="s">
        <v>14</v>
      </c>
      <c r="F4" s="2" t="s">
        <v>15</v>
      </c>
      <c r="G4" s="2">
        <v>2.5</v>
      </c>
      <c r="H4" s="2">
        <v>1</v>
      </c>
      <c r="I4" s="2">
        <f t="shared" ref="I4:I27" si="0">G4*H4</f>
        <v>2.5</v>
      </c>
      <c r="J4" s="4" t="s">
        <v>16</v>
      </c>
    </row>
    <row r="5" spans="1:10" ht="30" customHeight="1">
      <c r="A5" s="2">
        <v>2</v>
      </c>
      <c r="B5" s="2" t="s">
        <v>11</v>
      </c>
      <c r="C5" s="3" t="s">
        <v>17</v>
      </c>
      <c r="D5" s="2" t="s">
        <v>18</v>
      </c>
      <c r="E5" s="2" t="s">
        <v>19</v>
      </c>
      <c r="F5" s="2" t="s">
        <v>15</v>
      </c>
      <c r="G5" s="2">
        <v>35</v>
      </c>
      <c r="H5" s="2">
        <v>1</v>
      </c>
      <c r="I5" s="2">
        <f t="shared" si="0"/>
        <v>35</v>
      </c>
      <c r="J5" s="4" t="s">
        <v>16</v>
      </c>
    </row>
    <row r="6" spans="1:10" ht="30" customHeight="1">
      <c r="A6" s="2">
        <v>3</v>
      </c>
      <c r="B6" s="2" t="s">
        <v>11</v>
      </c>
      <c r="C6" s="3" t="s">
        <v>20</v>
      </c>
      <c r="D6" s="2" t="s">
        <v>21</v>
      </c>
      <c r="E6" s="2" t="s">
        <v>22</v>
      </c>
      <c r="F6" s="2" t="s">
        <v>15</v>
      </c>
      <c r="G6" s="2">
        <v>5</v>
      </c>
      <c r="H6" s="2">
        <v>1</v>
      </c>
      <c r="I6" s="2">
        <f t="shared" si="0"/>
        <v>5</v>
      </c>
      <c r="J6" s="4" t="s">
        <v>16</v>
      </c>
    </row>
    <row r="7" spans="1:10" ht="30" customHeight="1">
      <c r="A7" s="2">
        <v>4</v>
      </c>
      <c r="B7" s="2" t="s">
        <v>11</v>
      </c>
      <c r="C7" s="3" t="s">
        <v>23</v>
      </c>
      <c r="D7" s="2" t="s">
        <v>24</v>
      </c>
      <c r="E7" s="2" t="s">
        <v>25</v>
      </c>
      <c r="F7" s="2" t="s">
        <v>15</v>
      </c>
      <c r="G7" s="2">
        <v>150</v>
      </c>
      <c r="H7" s="2">
        <v>1</v>
      </c>
      <c r="I7" s="2">
        <f t="shared" si="0"/>
        <v>150</v>
      </c>
      <c r="J7" s="4" t="s">
        <v>16</v>
      </c>
    </row>
    <row r="8" spans="1:10" ht="30" customHeight="1">
      <c r="A8" s="2">
        <v>5</v>
      </c>
      <c r="B8" s="2" t="s">
        <v>11</v>
      </c>
      <c r="C8" s="3" t="s">
        <v>26</v>
      </c>
      <c r="D8" s="2" t="s">
        <v>27</v>
      </c>
      <c r="E8" s="2" t="s">
        <v>28</v>
      </c>
      <c r="F8" s="2" t="s">
        <v>15</v>
      </c>
      <c r="G8" s="2">
        <v>3.5</v>
      </c>
      <c r="H8" s="2">
        <v>1</v>
      </c>
      <c r="I8" s="2">
        <f t="shared" si="0"/>
        <v>3.5</v>
      </c>
      <c r="J8" s="4" t="s">
        <v>16</v>
      </c>
    </row>
    <row r="9" spans="1:10" ht="30" customHeight="1">
      <c r="A9" s="2">
        <v>6</v>
      </c>
      <c r="B9" s="2" t="s">
        <v>29</v>
      </c>
      <c r="C9" s="3" t="s">
        <v>30</v>
      </c>
      <c r="D9" s="2" t="s">
        <v>31</v>
      </c>
      <c r="E9" s="2" t="s">
        <v>32</v>
      </c>
      <c r="F9" s="2" t="s">
        <v>15</v>
      </c>
      <c r="G9" s="2">
        <v>16</v>
      </c>
      <c r="H9" s="2">
        <v>1</v>
      </c>
      <c r="I9" s="2">
        <f t="shared" si="0"/>
        <v>16</v>
      </c>
      <c r="J9" s="2"/>
    </row>
    <row r="10" spans="1:10" ht="30" customHeight="1">
      <c r="A10" s="2">
        <v>7</v>
      </c>
      <c r="B10" s="2" t="s">
        <v>29</v>
      </c>
      <c r="C10" s="3" t="s">
        <v>33</v>
      </c>
      <c r="D10" s="2" t="s">
        <v>34</v>
      </c>
      <c r="E10" s="2" t="s">
        <v>35</v>
      </c>
      <c r="F10" s="2" t="s">
        <v>15</v>
      </c>
      <c r="G10" s="2">
        <v>5</v>
      </c>
      <c r="H10" s="2">
        <v>1</v>
      </c>
      <c r="I10" s="2">
        <f t="shared" si="0"/>
        <v>5</v>
      </c>
      <c r="J10" s="2"/>
    </row>
    <row r="11" spans="1:10" ht="30" customHeight="1">
      <c r="A11" s="2">
        <v>8</v>
      </c>
      <c r="B11" s="2" t="s">
        <v>29</v>
      </c>
      <c r="C11" s="3" t="s">
        <v>36</v>
      </c>
      <c r="D11" s="2" t="s">
        <v>37</v>
      </c>
      <c r="E11" s="2" t="s">
        <v>38</v>
      </c>
      <c r="F11" s="2" t="s">
        <v>39</v>
      </c>
      <c r="G11" s="2">
        <v>3</v>
      </c>
      <c r="H11" s="2">
        <v>2</v>
      </c>
      <c r="I11" s="2">
        <f t="shared" si="0"/>
        <v>6</v>
      </c>
      <c r="J11" s="2"/>
    </row>
    <row r="12" spans="1:10" ht="30" customHeight="1">
      <c r="A12" s="2">
        <v>9</v>
      </c>
      <c r="B12" s="2" t="s">
        <v>40</v>
      </c>
      <c r="C12" s="3" t="s">
        <v>41</v>
      </c>
      <c r="D12" s="2" t="s">
        <v>42</v>
      </c>
      <c r="E12" s="2" t="s">
        <v>43</v>
      </c>
      <c r="F12" s="2" t="s">
        <v>15</v>
      </c>
      <c r="G12" s="2">
        <v>30</v>
      </c>
      <c r="H12" s="2">
        <v>1</v>
      </c>
      <c r="I12" s="2">
        <f t="shared" si="0"/>
        <v>30</v>
      </c>
      <c r="J12" s="4" t="s">
        <v>16</v>
      </c>
    </row>
    <row r="13" spans="1:10" ht="30" customHeight="1">
      <c r="A13" s="2">
        <v>10</v>
      </c>
      <c r="B13" s="2" t="s">
        <v>40</v>
      </c>
      <c r="C13" s="3" t="s">
        <v>44</v>
      </c>
      <c r="D13" s="2" t="s">
        <v>45</v>
      </c>
      <c r="E13" s="2" t="s">
        <v>46</v>
      </c>
      <c r="F13" s="2" t="s">
        <v>47</v>
      </c>
      <c r="G13" s="2">
        <v>5</v>
      </c>
      <c r="H13" s="2">
        <v>1</v>
      </c>
      <c r="I13" s="2">
        <f t="shared" si="0"/>
        <v>5</v>
      </c>
      <c r="J13" s="2"/>
    </row>
    <row r="14" spans="1:10" ht="30" customHeight="1">
      <c r="A14" s="2">
        <v>11</v>
      </c>
      <c r="B14" s="2" t="s">
        <v>48</v>
      </c>
      <c r="C14" s="3" t="s">
        <v>49</v>
      </c>
      <c r="D14" s="2" t="s">
        <v>50</v>
      </c>
      <c r="E14" s="2" t="s">
        <v>51</v>
      </c>
      <c r="F14" s="2" t="s">
        <v>39</v>
      </c>
      <c r="G14" s="2">
        <v>28</v>
      </c>
      <c r="H14" s="2">
        <v>5</v>
      </c>
      <c r="I14" s="2">
        <f t="shared" si="0"/>
        <v>140</v>
      </c>
      <c r="J14" s="2"/>
    </row>
    <row r="15" spans="1:10" ht="30" customHeight="1">
      <c r="A15" s="2">
        <v>12</v>
      </c>
      <c r="B15" s="2" t="s">
        <v>48</v>
      </c>
      <c r="C15" s="3" t="s">
        <v>52</v>
      </c>
      <c r="D15" s="2" t="s">
        <v>53</v>
      </c>
      <c r="E15" s="2" t="s">
        <v>54</v>
      </c>
      <c r="F15" s="2" t="s">
        <v>55</v>
      </c>
      <c r="G15" s="2">
        <v>12</v>
      </c>
      <c r="H15" s="2">
        <v>4</v>
      </c>
      <c r="I15" s="2">
        <f t="shared" si="0"/>
        <v>48</v>
      </c>
      <c r="J15" s="4" t="s">
        <v>16</v>
      </c>
    </row>
    <row r="16" spans="1:10" ht="30" customHeight="1">
      <c r="A16" s="2">
        <v>13</v>
      </c>
      <c r="B16" s="2" t="s">
        <v>48</v>
      </c>
      <c r="C16" s="3" t="s">
        <v>56</v>
      </c>
      <c r="D16" s="2" t="s">
        <v>57</v>
      </c>
      <c r="E16" s="2" t="s">
        <v>58</v>
      </c>
      <c r="F16" s="2" t="s">
        <v>15</v>
      </c>
      <c r="G16" s="2">
        <v>3.6</v>
      </c>
      <c r="H16" s="2">
        <v>4</v>
      </c>
      <c r="I16" s="2">
        <f t="shared" si="0"/>
        <v>14.4</v>
      </c>
      <c r="J16" s="2"/>
    </row>
    <row r="17" spans="1:10" ht="30" customHeight="1">
      <c r="A17" s="2">
        <v>14</v>
      </c>
      <c r="B17" s="2" t="s">
        <v>48</v>
      </c>
      <c r="C17" s="3" t="s">
        <v>59</v>
      </c>
      <c r="D17" s="2" t="s">
        <v>60</v>
      </c>
      <c r="E17" s="2" t="s">
        <v>61</v>
      </c>
      <c r="F17" s="2" t="s">
        <v>55</v>
      </c>
      <c r="G17" s="2">
        <v>0.48</v>
      </c>
      <c r="H17" s="2">
        <v>2</v>
      </c>
      <c r="I17" s="2">
        <f t="shared" si="0"/>
        <v>0.96</v>
      </c>
      <c r="J17" s="2"/>
    </row>
    <row r="18" spans="1:10" ht="30" customHeight="1">
      <c r="A18" s="2">
        <v>15</v>
      </c>
      <c r="B18" s="2" t="s">
        <v>48</v>
      </c>
      <c r="C18" s="3" t="s">
        <v>62</v>
      </c>
      <c r="D18" s="2" t="s">
        <v>63</v>
      </c>
      <c r="E18" s="2" t="s">
        <v>64</v>
      </c>
      <c r="F18" s="2" t="s">
        <v>15</v>
      </c>
      <c r="G18" s="2">
        <v>1.2</v>
      </c>
      <c r="H18" s="2">
        <v>50</v>
      </c>
      <c r="I18" s="2">
        <f t="shared" si="0"/>
        <v>60</v>
      </c>
      <c r="J18" s="2"/>
    </row>
    <row r="19" spans="1:10" ht="30" customHeight="1">
      <c r="A19" s="2">
        <v>16</v>
      </c>
      <c r="B19" s="2" t="s">
        <v>48</v>
      </c>
      <c r="C19" s="3" t="s">
        <v>65</v>
      </c>
      <c r="D19" s="2" t="s">
        <v>66</v>
      </c>
      <c r="E19" s="2" t="s">
        <v>67</v>
      </c>
      <c r="F19" s="2" t="s">
        <v>55</v>
      </c>
      <c r="G19" s="2">
        <v>0.6</v>
      </c>
      <c r="H19" s="2">
        <v>2</v>
      </c>
      <c r="I19" s="2">
        <f t="shared" si="0"/>
        <v>1.2</v>
      </c>
      <c r="J19" s="2"/>
    </row>
    <row r="20" spans="1:10" ht="30" customHeight="1">
      <c r="A20" s="2">
        <v>17</v>
      </c>
      <c r="B20" s="2" t="s">
        <v>68</v>
      </c>
      <c r="C20" s="3" t="s">
        <v>69</v>
      </c>
      <c r="D20" s="2" t="s">
        <v>70</v>
      </c>
      <c r="E20" s="2" t="s">
        <v>71</v>
      </c>
      <c r="F20" s="2" t="s">
        <v>55</v>
      </c>
      <c r="G20" s="2">
        <v>8</v>
      </c>
      <c r="H20" s="2">
        <v>2</v>
      </c>
      <c r="I20" s="2">
        <f t="shared" si="0"/>
        <v>16</v>
      </c>
      <c r="J20" s="2"/>
    </row>
    <row r="21" spans="1:10" ht="30" customHeight="1">
      <c r="A21" s="2">
        <v>18</v>
      </c>
      <c r="B21" s="2" t="s">
        <v>68</v>
      </c>
      <c r="C21" s="3" t="s">
        <v>72</v>
      </c>
      <c r="D21" s="2" t="s">
        <v>73</v>
      </c>
      <c r="E21" s="2" t="s">
        <v>74</v>
      </c>
      <c r="F21" s="2" t="s">
        <v>75</v>
      </c>
      <c r="G21" s="2">
        <v>8</v>
      </c>
      <c r="H21" s="2">
        <v>1</v>
      </c>
      <c r="I21" s="2">
        <f t="shared" si="0"/>
        <v>8</v>
      </c>
      <c r="J21" s="2"/>
    </row>
    <row r="22" spans="1:10" ht="30" customHeight="1">
      <c r="A22" s="2">
        <v>19</v>
      </c>
      <c r="B22" s="2" t="s">
        <v>68</v>
      </c>
      <c r="C22" s="3" t="s">
        <v>76</v>
      </c>
      <c r="D22" s="2" t="s">
        <v>77</v>
      </c>
      <c r="E22" s="2" t="s">
        <v>78</v>
      </c>
      <c r="F22" s="2" t="s">
        <v>15</v>
      </c>
      <c r="G22" s="2">
        <v>3</v>
      </c>
      <c r="H22" s="2">
        <v>2</v>
      </c>
      <c r="I22" s="2">
        <f t="shared" si="0"/>
        <v>6</v>
      </c>
      <c r="J22" s="2"/>
    </row>
    <row r="23" spans="1:10" ht="30" customHeight="1">
      <c r="A23" s="2">
        <v>20</v>
      </c>
      <c r="B23" s="2" t="s">
        <v>68</v>
      </c>
      <c r="C23" s="3" t="s">
        <v>79</v>
      </c>
      <c r="D23" s="2" t="s">
        <v>80</v>
      </c>
      <c r="E23" s="2" t="s">
        <v>81</v>
      </c>
      <c r="F23" s="2" t="s">
        <v>82</v>
      </c>
      <c r="G23" s="2">
        <v>19</v>
      </c>
      <c r="H23" s="2">
        <v>2</v>
      </c>
      <c r="I23" s="2">
        <f t="shared" si="0"/>
        <v>38</v>
      </c>
      <c r="J23" s="2"/>
    </row>
    <row r="24" spans="1:10" ht="30" customHeight="1">
      <c r="A24" s="2">
        <v>21</v>
      </c>
      <c r="B24" s="2" t="s">
        <v>68</v>
      </c>
      <c r="C24" s="3" t="s">
        <v>83</v>
      </c>
      <c r="D24" s="2" t="s">
        <v>84</v>
      </c>
      <c r="E24" s="2" t="s">
        <v>85</v>
      </c>
      <c r="F24" s="2" t="s">
        <v>15</v>
      </c>
      <c r="G24" s="2">
        <v>5</v>
      </c>
      <c r="H24" s="2">
        <v>1</v>
      </c>
      <c r="I24" s="2">
        <f t="shared" si="0"/>
        <v>5</v>
      </c>
      <c r="J24" s="2"/>
    </row>
    <row r="25" spans="1:10" ht="30" customHeight="1">
      <c r="A25" s="2">
        <v>22</v>
      </c>
      <c r="B25" s="2" t="s">
        <v>86</v>
      </c>
      <c r="C25" s="3" t="s">
        <v>87</v>
      </c>
      <c r="D25" s="2" t="s">
        <v>88</v>
      </c>
      <c r="E25" s="2" t="s">
        <v>89</v>
      </c>
      <c r="F25" s="2" t="s">
        <v>55</v>
      </c>
      <c r="G25" s="2">
        <v>12</v>
      </c>
      <c r="H25" s="2">
        <v>1</v>
      </c>
      <c r="I25" s="2">
        <f t="shared" si="0"/>
        <v>12</v>
      </c>
      <c r="J25" s="2"/>
    </row>
    <row r="26" spans="1:10" ht="30" customHeight="1">
      <c r="A26" s="2">
        <v>23</v>
      </c>
      <c r="B26" s="2" t="s">
        <v>86</v>
      </c>
      <c r="C26" s="3" t="s">
        <v>90</v>
      </c>
      <c r="D26" s="2" t="s">
        <v>91</v>
      </c>
      <c r="E26" s="2" t="s">
        <v>92</v>
      </c>
      <c r="F26" s="2" t="s">
        <v>93</v>
      </c>
      <c r="G26" s="2">
        <v>8</v>
      </c>
      <c r="H26" s="2">
        <v>1</v>
      </c>
      <c r="I26" s="2">
        <f t="shared" si="0"/>
        <v>8</v>
      </c>
      <c r="J26" s="2"/>
    </row>
    <row r="27" spans="1:10" ht="30" customHeight="1">
      <c r="A27" s="2">
        <v>24</v>
      </c>
      <c r="B27" s="2" t="s">
        <v>86</v>
      </c>
      <c r="C27" s="3" t="s">
        <v>94</v>
      </c>
      <c r="D27" s="2" t="s">
        <v>95</v>
      </c>
      <c r="E27" s="2" t="s">
        <v>96</v>
      </c>
      <c r="F27" s="2" t="s">
        <v>55</v>
      </c>
      <c r="G27" s="2">
        <v>10</v>
      </c>
      <c r="H27" s="2">
        <v>1</v>
      </c>
      <c r="I27" s="2">
        <f t="shared" si="0"/>
        <v>10</v>
      </c>
      <c r="J27" s="2"/>
    </row>
    <row r="28" spans="1:10" ht="24.95" customHeight="1">
      <c r="A28" s="14" t="s">
        <v>97</v>
      </c>
      <c r="B28" s="15"/>
      <c r="C28" s="15"/>
      <c r="D28" s="15"/>
      <c r="E28" s="15"/>
      <c r="F28" s="15"/>
      <c r="G28" s="15"/>
      <c r="H28" s="11">
        <v>2</v>
      </c>
      <c r="I28" s="2">
        <f>SUM(I4:I27)</f>
        <v>625.55999999999995</v>
      </c>
      <c r="J28" s="10">
        <f>(I28*H28)</f>
        <v>1251.1199999999999</v>
      </c>
    </row>
    <row r="29" spans="1:10">
      <c r="I29" t="s">
        <v>147</v>
      </c>
      <c r="J29" t="s">
        <v>148</v>
      </c>
    </row>
  </sheetData>
  <mergeCells count="2">
    <mergeCell ref="A1:J1"/>
    <mergeCell ref="A28:G28"/>
  </mergeCells>
  <phoneticPr fontId="8" type="noConversion"/>
  <hyperlinks>
    <hyperlink ref="J4" r:id="rId1" xr:uid="{00000000-0004-0000-0000-000000000000}"/>
    <hyperlink ref="J5" r:id="rId2" xr:uid="{00000000-0004-0000-0000-000001000000}"/>
    <hyperlink ref="J6" r:id="rId3" xr:uid="{00000000-0004-0000-0000-000002000000}"/>
    <hyperlink ref="J7" r:id="rId4" xr:uid="{00000000-0004-0000-0000-000003000000}"/>
    <hyperlink ref="J8" r:id="rId5" xr:uid="{00000000-0004-0000-0000-000004000000}"/>
    <hyperlink ref="J12" r:id="rId6" xr:uid="{00000000-0004-0000-0000-000005000000}"/>
    <hyperlink ref="J15" r:id="rId7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/>
  <cols>
    <col min="1" max="1" width="18" customWidth="1"/>
    <col min="2" max="2" width="22" customWidth="1"/>
    <col min="3" max="3" width="45" customWidth="1"/>
    <col min="4" max="4" width="38" customWidth="1"/>
    <col min="5" max="5" width="35" customWidth="1"/>
  </cols>
  <sheetData>
    <row r="1" spans="1:5" ht="30" customHeight="1">
      <c r="A1" s="12" t="s">
        <v>98</v>
      </c>
      <c r="B1" s="13"/>
      <c r="C1" s="13"/>
      <c r="D1" s="13"/>
      <c r="E1" s="13"/>
    </row>
    <row r="3" spans="1:5" ht="24.95" customHeight="1">
      <c r="A3" s="1" t="s">
        <v>99</v>
      </c>
      <c r="B3" s="1" t="s">
        <v>4</v>
      </c>
      <c r="C3" s="1" t="s">
        <v>100</v>
      </c>
      <c r="D3" s="1" t="s">
        <v>101</v>
      </c>
      <c r="E3" s="1" t="s">
        <v>102</v>
      </c>
    </row>
    <row r="4" spans="1:5" ht="69.95" customHeight="1">
      <c r="A4" s="6" t="s">
        <v>12</v>
      </c>
      <c r="B4" s="6" t="s">
        <v>13</v>
      </c>
      <c r="C4" s="6" t="s">
        <v>103</v>
      </c>
      <c r="D4" s="6" t="s">
        <v>104</v>
      </c>
      <c r="E4" s="6" t="s">
        <v>105</v>
      </c>
    </row>
    <row r="5" spans="1:5" ht="69.95" customHeight="1">
      <c r="A5" s="6" t="s">
        <v>17</v>
      </c>
      <c r="B5" s="6" t="s">
        <v>18</v>
      </c>
      <c r="C5" s="6" t="s">
        <v>106</v>
      </c>
      <c r="D5" s="6" t="s">
        <v>107</v>
      </c>
      <c r="E5" s="6" t="s">
        <v>108</v>
      </c>
    </row>
    <row r="6" spans="1:5" ht="69.95" customHeight="1">
      <c r="A6" s="6" t="s">
        <v>20</v>
      </c>
      <c r="B6" s="6" t="s">
        <v>21</v>
      </c>
      <c r="C6" s="6" t="s">
        <v>109</v>
      </c>
      <c r="D6" s="6" t="s">
        <v>110</v>
      </c>
      <c r="E6" s="6" t="s">
        <v>111</v>
      </c>
    </row>
    <row r="7" spans="1:5" ht="69.95" customHeight="1">
      <c r="A7" s="6" t="s">
        <v>23</v>
      </c>
      <c r="B7" s="6" t="s">
        <v>24</v>
      </c>
      <c r="C7" s="6" t="s">
        <v>112</v>
      </c>
      <c r="D7" s="6" t="s">
        <v>113</v>
      </c>
      <c r="E7" s="6" t="s">
        <v>114</v>
      </c>
    </row>
    <row r="8" spans="1:5" ht="69.95" customHeight="1">
      <c r="A8" s="6" t="s">
        <v>26</v>
      </c>
      <c r="B8" s="6" t="s">
        <v>27</v>
      </c>
      <c r="C8" s="6" t="s">
        <v>115</v>
      </c>
      <c r="D8" s="6" t="s">
        <v>116</v>
      </c>
      <c r="E8" s="6" t="s">
        <v>117</v>
      </c>
    </row>
    <row r="9" spans="1:5" ht="69.95" customHeight="1">
      <c r="A9" s="6" t="s">
        <v>30</v>
      </c>
      <c r="B9" s="6" t="s">
        <v>31</v>
      </c>
      <c r="C9" s="6" t="s">
        <v>118</v>
      </c>
      <c r="D9" s="6" t="s">
        <v>119</v>
      </c>
      <c r="E9" s="6" t="s">
        <v>120</v>
      </c>
    </row>
    <row r="10" spans="1:5" ht="69.95" customHeight="1">
      <c r="A10" s="6" t="s">
        <v>33</v>
      </c>
      <c r="B10" s="6" t="s">
        <v>34</v>
      </c>
      <c r="C10" s="6" t="s">
        <v>121</v>
      </c>
      <c r="D10" s="6" t="s">
        <v>122</v>
      </c>
      <c r="E10" s="6" t="s">
        <v>123</v>
      </c>
    </row>
    <row r="11" spans="1:5" ht="69.95" customHeight="1">
      <c r="A11" s="6" t="s">
        <v>41</v>
      </c>
      <c r="B11" s="6" t="s">
        <v>42</v>
      </c>
      <c r="C11" s="6" t="s">
        <v>124</v>
      </c>
      <c r="D11" s="6" t="s">
        <v>125</v>
      </c>
      <c r="E11" s="6" t="s">
        <v>126</v>
      </c>
    </row>
    <row r="12" spans="1:5" ht="69.95" customHeight="1">
      <c r="A12" s="6" t="s">
        <v>49</v>
      </c>
      <c r="B12" s="6" t="s">
        <v>50</v>
      </c>
      <c r="C12" s="6" t="s">
        <v>127</v>
      </c>
      <c r="D12" s="6" t="s">
        <v>128</v>
      </c>
      <c r="E12" s="6" t="s">
        <v>129</v>
      </c>
    </row>
    <row r="13" spans="1:5" ht="69.95" customHeight="1">
      <c r="A13" s="6" t="s">
        <v>52</v>
      </c>
      <c r="B13" s="6" t="s">
        <v>130</v>
      </c>
      <c r="C13" s="6" t="s">
        <v>131</v>
      </c>
      <c r="D13" s="6" t="s">
        <v>132</v>
      </c>
      <c r="E13" s="6" t="s">
        <v>133</v>
      </c>
    </row>
    <row r="14" spans="1:5" ht="69.95" customHeight="1">
      <c r="A14" s="6" t="s">
        <v>87</v>
      </c>
      <c r="B14" s="6" t="s">
        <v>88</v>
      </c>
      <c r="C14" s="6" t="s">
        <v>134</v>
      </c>
      <c r="D14" s="6" t="s">
        <v>135</v>
      </c>
      <c r="E14" s="6" t="s">
        <v>136</v>
      </c>
    </row>
    <row r="15" spans="1:5" ht="69.95" customHeight="1">
      <c r="A15" s="6" t="s">
        <v>79</v>
      </c>
      <c r="B15" s="6" t="s">
        <v>80</v>
      </c>
      <c r="C15" s="6" t="s">
        <v>137</v>
      </c>
      <c r="D15" s="6" t="s">
        <v>138</v>
      </c>
      <c r="E15" s="6" t="s">
        <v>139</v>
      </c>
    </row>
  </sheetData>
  <mergeCells count="1">
    <mergeCell ref="A1:E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3.5"/>
  <cols>
    <col min="1" max="1" width="22" customWidth="1"/>
    <col min="2" max="2" width="15" customWidth="1"/>
    <col min="3" max="3" width="20" customWidth="1"/>
    <col min="4" max="4" width="12" customWidth="1"/>
  </cols>
  <sheetData>
    <row r="1" spans="1:4" ht="30" customHeight="1">
      <c r="A1" s="12" t="s">
        <v>140</v>
      </c>
      <c r="B1" s="13"/>
      <c r="C1" s="13"/>
      <c r="D1" s="13"/>
    </row>
    <row r="3" spans="1:4" ht="24.95" customHeight="1">
      <c r="A3" s="7" t="s">
        <v>141</v>
      </c>
      <c r="B3" s="7" t="s">
        <v>142</v>
      </c>
      <c r="C3" s="7" t="s">
        <v>143</v>
      </c>
      <c r="D3" s="7" t="s">
        <v>144</v>
      </c>
    </row>
    <row r="4" spans="1:4" ht="24.95" customHeight="1">
      <c r="A4" s="8" t="s">
        <v>11</v>
      </c>
      <c r="B4" s="8">
        <v>5</v>
      </c>
      <c r="C4" s="8">
        <f>选型与报价总表!H4*H4+选型与报价总表!H5*H5+选型与报价总表!H6*H6+选型与报价总表!H7*H7+选型与报价总表!H8*H8</f>
        <v>0</v>
      </c>
      <c r="D4" s="9" t="e">
        <f>C4/C10</f>
        <v>#DIV/0!</v>
      </c>
    </row>
    <row r="5" spans="1:4" ht="24.95" customHeight="1">
      <c r="A5" s="8" t="s">
        <v>29</v>
      </c>
      <c r="B5" s="8">
        <v>3</v>
      </c>
      <c r="C5" s="8">
        <f>选型与报价总表!H9*H9+选型与报价总表!H10*H10+选型与报价总表!H11*H11</f>
        <v>0</v>
      </c>
      <c r="D5" s="9" t="e">
        <f>C5/C10</f>
        <v>#DIV/0!</v>
      </c>
    </row>
    <row r="6" spans="1:4" ht="24.95" customHeight="1">
      <c r="A6" s="8" t="s">
        <v>40</v>
      </c>
      <c r="B6" s="8">
        <v>2</v>
      </c>
      <c r="C6" s="8">
        <f>选型与报价总表!H12*H12+选型与报价总表!H13*H13</f>
        <v>0</v>
      </c>
      <c r="D6" s="9" t="e">
        <f>C6/C10</f>
        <v>#DIV/0!</v>
      </c>
    </row>
    <row r="7" spans="1:4" ht="24.95" customHeight="1">
      <c r="A7" s="8" t="s">
        <v>145</v>
      </c>
      <c r="B7" s="8">
        <v>6</v>
      </c>
      <c r="C7" s="8">
        <f>选型与报价总表!H14*H14+选型与报价总表!H15*H15+选型与报价总表!H16*H16+选型与报价总表!H17*H17+选型与报价总表!H18*H18+选型与报价总表!H19*H19</f>
        <v>0</v>
      </c>
      <c r="D7" s="9" t="e">
        <f>C7/C10</f>
        <v>#DIV/0!</v>
      </c>
    </row>
    <row r="8" spans="1:4" ht="24.95" customHeight="1">
      <c r="A8" s="8" t="s">
        <v>68</v>
      </c>
      <c r="B8" s="8">
        <v>5</v>
      </c>
      <c r="C8" s="8">
        <f>选型与报价总表!H20*H20+选型与报价总表!H21*H21+选型与报价总表!H22*H22+选型与报价总表!H23*H23+选型与报价总表!H24*H24</f>
        <v>0</v>
      </c>
      <c r="D8" s="9" t="e">
        <f>C8/C10</f>
        <v>#DIV/0!</v>
      </c>
    </row>
    <row r="9" spans="1:4" ht="24.95" customHeight="1">
      <c r="A9" s="8" t="s">
        <v>86</v>
      </c>
      <c r="B9" s="8">
        <v>3</v>
      </c>
      <c r="C9" s="8">
        <f>选型与报价总表!H25*H25+选型与报价总表!H26*H26+选型与报价总表!H27*H27</f>
        <v>0</v>
      </c>
      <c r="D9" s="9" t="e">
        <f>C9/C10</f>
        <v>#DIV/0!</v>
      </c>
    </row>
    <row r="10" spans="1:4" ht="24.95" customHeight="1">
      <c r="A10" s="5" t="s">
        <v>146</v>
      </c>
      <c r="B10" s="5"/>
      <c r="C10" s="5">
        <f>SUM(C4:C9)</f>
        <v>0</v>
      </c>
      <c r="D10" s="5"/>
    </row>
  </sheetData>
  <mergeCells count="1">
    <mergeCell ref="A1:D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选型与报价总表</vt:lpstr>
      <vt:lpstr>选型建议</vt:lpstr>
      <vt:lpstr>预算汇总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Scope Pang</cp:lastModifiedBy>
  <dcterms:created xsi:type="dcterms:W3CDTF">2026-06-16T14:17:36Z</dcterms:created>
  <dcterms:modified xsi:type="dcterms:W3CDTF">2026-06-16T14:46:35Z</dcterms:modified>
</cp:coreProperties>
</file>