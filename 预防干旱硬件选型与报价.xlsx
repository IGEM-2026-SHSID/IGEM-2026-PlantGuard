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选型与报价总表" sheetId="1" state="visible" r:id="rId1"/>
    <sheet name="选型建议" sheetId="2" state="visible" r:id="rId2"/>
    <sheet name="预算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¥#,##0.00"/>
    <numFmt numFmtId="165" formatCode="0.0%"/>
  </numFmts>
  <fonts count="7">
    <font>
      <name val="Calibri"/>
      <family val="2"/>
      <color theme="1"/>
      <sz val="11"/>
      <scheme val="minor"/>
    </font>
    <font>
      <name val="微软雅黑"/>
      <b val="1"/>
      <color rgb="002F5496"/>
      <sz val="14"/>
    </font>
    <font>
      <name val="微软雅黑"/>
      <b val="1"/>
      <color rgb="00FFFFFF"/>
      <sz val="12"/>
    </font>
    <font>
      <name val="微软雅黑"/>
      <sz val="10"/>
    </font>
    <font>
      <name val="微软雅黑"/>
      <b val="1"/>
      <sz val="10"/>
    </font>
    <font>
      <name val="微软雅黑"/>
      <color rgb="000563C1"/>
      <sz val="10"/>
      <u val="single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tail.1688.com/offer/731763870539.html" TargetMode="External" Id="rId1" /><Relationship Type="http://schemas.openxmlformats.org/officeDocument/2006/relationships/hyperlink" Target="https://detail.1688.com/offer/830594450539.html" TargetMode="External" Id="rId2" /><Relationship Type="http://schemas.openxmlformats.org/officeDocument/2006/relationships/hyperlink" Target="https://detail.1688.com/offer/633127954308.html" TargetMode="External" Id="rId3" /><Relationship Type="http://schemas.openxmlformats.org/officeDocument/2006/relationships/hyperlink" Target="https://detail.1688.com/offer/658093439548.html" TargetMode="External" Id="rId4" /><Relationship Type="http://schemas.openxmlformats.org/officeDocument/2006/relationships/hyperlink" Target="https://detail.1688.com/offer/732422314630.html" TargetMode="External" Id="rId5" /><Relationship Type="http://schemas.openxmlformats.org/officeDocument/2006/relationships/hyperlink" Target="https://detail.1688.com/offer/744862480964.html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22" customWidth="1" min="4" max="4"/>
    <col width="45" customWidth="1" min="5" max="5"/>
    <col width="6" customWidth="1" min="6" max="6"/>
    <col width="12" customWidth="1" min="7" max="7"/>
    <col width="8" customWidth="1" min="8" max="8"/>
    <col width="12" customWidth="1" min="9" max="9"/>
    <col width="25" customWidth="1" min="10" max="10"/>
  </cols>
  <sheetData>
    <row r="1" ht="30" customHeight="1">
      <c r="A1" s="1" t="inlineStr">
        <is>
          <t>预防干旱系统 - 硬件选型与报价总表</t>
        </is>
      </c>
    </row>
    <row r="3" ht="25" customHeight="1">
      <c r="A3" s="2" t="inlineStr">
        <is>
          <t>序号</t>
        </is>
      </c>
      <c r="B3" s="2" t="inlineStr">
        <is>
          <t>模块</t>
        </is>
      </c>
      <c r="C3" s="2" t="inlineStr">
        <is>
          <t>组件名称</t>
        </is>
      </c>
      <c r="D3" s="2" t="inlineStr">
        <is>
          <t>推荐型号</t>
        </is>
      </c>
      <c r="E3" s="2" t="inlineStr">
        <is>
          <t>规格参数</t>
        </is>
      </c>
      <c r="F3" s="2" t="inlineStr">
        <is>
          <t>单位</t>
        </is>
      </c>
      <c r="G3" s="2" t="inlineStr">
        <is>
          <t>单价(元)</t>
        </is>
      </c>
      <c r="H3" s="2" t="inlineStr">
        <is>
          <t>数量</t>
        </is>
      </c>
      <c r="I3" s="2" t="inlineStr">
        <is>
          <t>小计(元)</t>
        </is>
      </c>
      <c r="J3" s="2" t="inlineStr">
        <is>
          <t>购买链接</t>
        </is>
      </c>
    </row>
    <row r="4" ht="30" customHeight="1">
      <c r="A4" s="3" t="n">
        <v>1</v>
      </c>
      <c r="B4" s="3" t="inlineStr">
        <is>
          <t>干旱监测模块</t>
        </is>
      </c>
      <c r="C4" s="4" t="inlineStr">
        <is>
          <t>温湿度传感器</t>
        </is>
      </c>
      <c r="D4" s="3" t="inlineStr">
        <is>
          <t>AHT30模块</t>
        </is>
      </c>
      <c r="E4" s="3" t="inlineStr">
        <is>
          <t>I2C接口, ±2%RH湿度精度, ±0.3°C温度精度, 0-100%RH</t>
        </is>
      </c>
      <c r="F4" s="3" t="inlineStr">
        <is>
          <t>个</t>
        </is>
      </c>
      <c r="G4" s="3" t="n">
        <v>2.5</v>
      </c>
      <c r="H4" s="3" t="n">
        <v>1</v>
      </c>
      <c r="I4" s="3">
        <f>G4*H4</f>
        <v/>
      </c>
      <c r="J4" s="5" t="inlineStr">
        <is>
          <t>点击查看</t>
        </is>
      </c>
    </row>
    <row r="5" ht="30" customHeight="1">
      <c r="A5" s="3" t="n">
        <v>2</v>
      </c>
      <c r="B5" s="3" t="inlineStr">
        <is>
          <t>干旱监测模块</t>
        </is>
      </c>
      <c r="C5" s="4" t="inlineStr">
        <is>
          <t>光照强度传感器</t>
        </is>
      </c>
      <c r="D5" s="3" t="inlineStr">
        <is>
          <t>BH1750FVI (GY-302)</t>
        </is>
      </c>
      <c r="E5" s="3" t="inlineStr">
        <is>
          <t>I2C接口, 16位精度, 0-65535 lux, 3.3-5V</t>
        </is>
      </c>
      <c r="F5" s="3" t="inlineStr">
        <is>
          <t>个</t>
        </is>
      </c>
      <c r="G5" s="3" t="n">
        <v>4</v>
      </c>
      <c r="H5" s="3" t="n">
        <v>1</v>
      </c>
      <c r="I5" s="3">
        <f>G5*H5</f>
        <v/>
      </c>
      <c r="J5" s="5" t="inlineStr">
        <is>
          <t>点击查看</t>
        </is>
      </c>
    </row>
    <row r="6" ht="30" customHeight="1">
      <c r="A6" s="3" t="n">
        <v>3</v>
      </c>
      <c r="B6" s="3" t="inlineStr">
        <is>
          <t>干旱监测模块</t>
        </is>
      </c>
      <c r="C6" s="4" t="inlineStr">
        <is>
          <t>空气质量传感器</t>
        </is>
      </c>
      <c r="D6" s="3" t="inlineStr">
        <is>
          <t>MQ-135模块</t>
        </is>
      </c>
      <c r="E6" s="3" t="inlineStr">
        <is>
          <t>氨气/苯/烟雾检测, 模拟+数字输出, 5V</t>
        </is>
      </c>
      <c r="F6" s="3" t="inlineStr">
        <is>
          <t>个</t>
        </is>
      </c>
      <c r="G6" s="3" t="n">
        <v>5</v>
      </c>
      <c r="H6" s="3" t="n">
        <v>1</v>
      </c>
      <c r="I6" s="3">
        <f>G6*H6</f>
        <v/>
      </c>
      <c r="J6" s="5" t="inlineStr">
        <is>
          <t>点击查看</t>
        </is>
      </c>
    </row>
    <row r="7" ht="30" customHeight="1">
      <c r="A7" s="3" t="n">
        <v>4</v>
      </c>
      <c r="B7" s="3" t="inlineStr">
        <is>
          <t>干旱监测模块</t>
        </is>
      </c>
      <c r="C7" s="4" t="inlineStr">
        <is>
          <t>摄像模块</t>
        </is>
      </c>
      <c r="D7" s="3" t="inlineStr">
        <is>
          <t>ESP32-CAM (OV2640)</t>
        </is>
      </c>
      <c r="E7" s="3" t="inlineStr">
        <is>
          <t>WiFi+蓝牙, 200万像素, JPEG输出, 支持TF卡, 5V</t>
        </is>
      </c>
      <c r="F7" s="3" t="inlineStr">
        <is>
          <t>个</t>
        </is>
      </c>
      <c r="G7" s="3" t="n">
        <v>25</v>
      </c>
      <c r="H7" s="3" t="n">
        <v>1</v>
      </c>
      <c r="I7" s="3">
        <f>G7*H7</f>
        <v/>
      </c>
      <c r="J7" s="5" t="inlineStr">
        <is>
          <t>点击查看</t>
        </is>
      </c>
    </row>
    <row r="8" ht="30" customHeight="1">
      <c r="A8" s="3" t="n">
        <v>5</v>
      </c>
      <c r="B8" s="3" t="inlineStr">
        <is>
          <t>干旱监测模块</t>
        </is>
      </c>
      <c r="C8" s="4" t="inlineStr">
        <is>
          <t>电压比较器模块</t>
        </is>
      </c>
      <c r="D8" s="3" t="inlineStr">
        <is>
          <t>LM393模块</t>
        </is>
      </c>
      <c r="E8" s="3" t="inlineStr">
        <is>
          <t>双路比较, 4.5-28V宽电压, 带LED指示</t>
        </is>
      </c>
      <c r="F8" s="3" t="inlineStr">
        <is>
          <t>个</t>
        </is>
      </c>
      <c r="G8" s="3" t="n">
        <v>3.5</v>
      </c>
      <c r="H8" s="3" t="n">
        <v>1</v>
      </c>
      <c r="I8" s="3">
        <f>G8*H8</f>
        <v/>
      </c>
      <c r="J8" s="5" t="inlineStr">
        <is>
          <t>点击查看</t>
        </is>
      </c>
    </row>
    <row r="9" ht="30" customHeight="1">
      <c r="A9" s="3" t="n">
        <v>6</v>
      </c>
      <c r="B9" s="3" t="inlineStr">
        <is>
          <t>补水抗旱模块</t>
        </is>
      </c>
      <c r="C9" s="4" t="inlineStr">
        <is>
          <t>微型潜水泵</t>
        </is>
      </c>
      <c r="D9" s="3" t="inlineStr">
        <is>
          <t>5V微型静音水泵</t>
        </is>
      </c>
      <c r="E9" s="3" t="inlineStr">
        <is>
          <t>5V/3W, 流量120L/H, 扬程1.5m, 直流水泵</t>
        </is>
      </c>
      <c r="F9" s="3" t="inlineStr">
        <is>
          <t>个</t>
        </is>
      </c>
      <c r="G9" s="3" t="n">
        <v>16</v>
      </c>
      <c r="H9" s="3" t="n">
        <v>1</v>
      </c>
      <c r="I9" s="3">
        <f>G9*H9</f>
        <v/>
      </c>
      <c r="J9" s="3" t="inlineStr"/>
    </row>
    <row r="10" ht="30" customHeight="1">
      <c r="A10" s="3" t="n">
        <v>7</v>
      </c>
      <c r="B10" s="3" t="inlineStr">
        <is>
          <t>补水抗旱模块</t>
        </is>
      </c>
      <c r="C10" s="4" t="inlineStr">
        <is>
          <t>5V继电器模块</t>
        </is>
      </c>
      <c r="D10" s="3" t="inlineStr">
        <is>
          <t>单路继电器模块</t>
        </is>
      </c>
      <c r="E10" s="3" t="inlineStr">
        <is>
          <t>5V低电平触发, 10A/250VAC, 带光耦隔离</t>
        </is>
      </c>
      <c r="F10" s="3" t="inlineStr">
        <is>
          <t>个</t>
        </is>
      </c>
      <c r="G10" s="3" t="n">
        <v>5</v>
      </c>
      <c r="H10" s="3" t="n">
        <v>1</v>
      </c>
      <c r="I10" s="3">
        <f>G10*H10</f>
        <v/>
      </c>
      <c r="J10" s="3" t="inlineStr"/>
    </row>
    <row r="11" ht="30" customHeight="1">
      <c r="A11" s="3" t="n">
        <v>8</v>
      </c>
      <c r="B11" s="3" t="inlineStr">
        <is>
          <t>补水抗旱模块</t>
        </is>
      </c>
      <c r="C11" s="4" t="inlineStr">
        <is>
          <t>硅胶水管</t>
        </is>
      </c>
      <c r="D11" s="3" t="inlineStr">
        <is>
          <t>4mm内径硅胶管</t>
        </is>
      </c>
      <c r="E11" s="3" t="inlineStr">
        <is>
          <t>食品级硅胶, 耐压耐温, 1米</t>
        </is>
      </c>
      <c r="F11" s="3" t="inlineStr">
        <is>
          <t>米</t>
        </is>
      </c>
      <c r="G11" s="3" t="n">
        <v>3</v>
      </c>
      <c r="H11" s="3" t="n">
        <v>2</v>
      </c>
      <c r="I11" s="3">
        <f>G11*H11</f>
        <v/>
      </c>
      <c r="J11" s="3" t="inlineStr"/>
    </row>
    <row r="12" ht="30" customHeight="1">
      <c r="A12" s="3" t="n">
        <v>9</v>
      </c>
      <c r="B12" s="3" t="inlineStr">
        <is>
          <t>App报警模块(主控)</t>
        </is>
      </c>
      <c r="C12" s="4" t="inlineStr">
        <is>
          <t>主控芯片</t>
        </is>
      </c>
      <c r="D12" s="3" t="inlineStr">
        <is>
          <t>ESP32-S3-DevKitC-1</t>
        </is>
      </c>
      <c r="E12" s="3" t="inlineStr">
        <is>
          <t>Xtensa双核240MHz, WiFi+BT5, 8MB Flash, 8MB PSRAM</t>
        </is>
      </c>
      <c r="F12" s="3" t="inlineStr">
        <is>
          <t>个</t>
        </is>
      </c>
      <c r="G12" s="3" t="n">
        <v>30</v>
      </c>
      <c r="H12" s="3" t="n">
        <v>1</v>
      </c>
      <c r="I12" s="3">
        <f>G12*H12</f>
        <v/>
      </c>
      <c r="J12" s="5" t="inlineStr">
        <is>
          <t>点击查看</t>
        </is>
      </c>
    </row>
    <row r="13" ht="30" customHeight="1">
      <c r="A13" s="3" t="n">
        <v>10</v>
      </c>
      <c r="B13" s="3" t="inlineStr">
        <is>
          <t>App报警模块(主控)</t>
        </is>
      </c>
      <c r="C13" s="4" t="inlineStr">
        <is>
          <t>USB下载线</t>
        </is>
      </c>
      <c r="D13" s="3" t="inlineStr">
        <is>
          <t>Type-C数据线</t>
        </is>
      </c>
      <c r="E13" s="3" t="inlineStr">
        <is>
          <t>Type-C to USB-A, 1米, 支持数据传输</t>
        </is>
      </c>
      <c r="F13" s="3" t="inlineStr">
        <is>
          <t>条</t>
        </is>
      </c>
      <c r="G13" s="3" t="n">
        <v>5</v>
      </c>
      <c r="H13" s="3" t="n">
        <v>1</v>
      </c>
      <c r="I13" s="3">
        <f>G13*H13</f>
        <v/>
      </c>
      <c r="J13" s="3" t="inlineStr"/>
    </row>
    <row r="14" ht="30" customHeight="1">
      <c r="A14" s="3" t="n">
        <v>11</v>
      </c>
      <c r="B14" s="3" t="inlineStr">
        <is>
          <t>辅助材料</t>
        </is>
      </c>
      <c r="C14" s="4" t="inlineStr">
        <is>
          <t>杜邦线套装</t>
        </is>
      </c>
      <c r="D14" s="3" t="inlineStr">
        <is>
          <t>40P彩排线+公母头</t>
        </is>
      </c>
      <c r="E14" s="3" t="inlineStr">
        <is>
          <t>40根/排, 20cm, 公对公+公对母, 24AWG</t>
        </is>
      </c>
      <c r="F14" s="3" t="inlineStr">
        <is>
          <t>套</t>
        </is>
      </c>
      <c r="G14" s="3" t="n">
        <v>8</v>
      </c>
      <c r="H14" s="3" t="n">
        <v>1</v>
      </c>
      <c r="I14" s="3">
        <f>G14*H14</f>
        <v/>
      </c>
      <c r="J14" s="3" t="inlineStr"/>
    </row>
    <row r="15" ht="30" customHeight="1">
      <c r="A15" s="3" t="n">
        <v>12</v>
      </c>
      <c r="B15" s="3" t="inlineStr">
        <is>
          <t>辅助材料</t>
        </is>
      </c>
      <c r="C15" s="4" t="inlineStr">
        <is>
          <t>面包板</t>
        </is>
      </c>
      <c r="D15" s="3" t="inlineStr">
        <is>
          <t>830孔面包板</t>
        </is>
      </c>
      <c r="E15" s="3" t="inlineStr">
        <is>
          <t>830孔, 双边电源轨, 5.5x16.8cm</t>
        </is>
      </c>
      <c r="F15" s="3" t="inlineStr">
        <is>
          <t>块</t>
        </is>
      </c>
      <c r="G15" s="3" t="n">
        <v>8</v>
      </c>
      <c r="H15" s="3" t="n">
        <v>1</v>
      </c>
      <c r="I15" s="3">
        <f>G15*H15</f>
        <v/>
      </c>
      <c r="J15" s="3" t="inlineStr"/>
    </row>
    <row r="16" ht="30" customHeight="1">
      <c r="A16" s="3" t="n">
        <v>13</v>
      </c>
      <c r="B16" s="3" t="inlineStr">
        <is>
          <t>辅助材料</t>
        </is>
      </c>
      <c r="C16" s="4" t="inlineStr">
        <is>
          <t>3.3V/5V电源模块</t>
        </is>
      </c>
      <c r="D16" s="3" t="inlineStr">
        <is>
          <t>AMS1117稳压模块</t>
        </is>
      </c>
      <c r="E16" s="3" t="inlineStr">
        <is>
          <t>输入4.5-12V, 输出3.3V/5V可选, 1.5A</t>
        </is>
      </c>
      <c r="F16" s="3" t="inlineStr">
        <is>
          <t>个</t>
        </is>
      </c>
      <c r="G16" s="3" t="n">
        <v>3</v>
      </c>
      <c r="H16" s="3" t="n">
        <v>2</v>
      </c>
      <c r="I16" s="3">
        <f>G16*H16</f>
        <v/>
      </c>
      <c r="J16" s="3" t="inlineStr"/>
    </row>
    <row r="17" ht="30" customHeight="1">
      <c r="A17" s="3" t="n">
        <v>14</v>
      </c>
      <c r="B17" s="3" t="inlineStr">
        <is>
          <t>辅助材料</t>
        </is>
      </c>
      <c r="C17" s="4" t="inlineStr">
        <is>
          <t>18650锂电池</t>
        </is>
      </c>
      <c r="D17" s="3" t="inlineStr">
        <is>
          <t>18650 3.7V 3400mAh</t>
        </is>
      </c>
      <c r="E17" s="3" t="inlineStr">
        <is>
          <t>带保护板, 3.7V, 3400mAh, 尺寸18x65mm</t>
        </is>
      </c>
      <c r="F17" s="3" t="inlineStr">
        <is>
          <t>节</t>
        </is>
      </c>
      <c r="G17" s="3" t="n">
        <v>15</v>
      </c>
      <c r="H17" s="3" t="n">
        <v>2</v>
      </c>
      <c r="I17" s="3">
        <f>G17*H17</f>
        <v/>
      </c>
      <c r="J17" s="3" t="inlineStr"/>
    </row>
    <row r="18" ht="30" customHeight="1">
      <c r="A18" s="3" t="n">
        <v>15</v>
      </c>
      <c r="B18" s="3" t="inlineStr">
        <is>
          <t>辅助材料</t>
        </is>
      </c>
      <c r="C18" s="4" t="inlineStr">
        <is>
          <t>18650电池座</t>
        </is>
      </c>
      <c r="D18" s="3" t="inlineStr">
        <is>
          <t>双节18650电池座</t>
        </is>
      </c>
      <c r="E18" s="3" t="inlineStr">
        <is>
          <t>带DC头, 2x18650串联, 3.7V-7.4V输出</t>
        </is>
      </c>
      <c r="F18" s="3" t="inlineStr">
        <is>
          <t>个</t>
        </is>
      </c>
      <c r="G18" s="3" t="n">
        <v>5</v>
      </c>
      <c r="H18" s="3" t="n">
        <v>1</v>
      </c>
      <c r="I18" s="3">
        <f>G18*H18</f>
        <v/>
      </c>
      <c r="J18" s="3" t="inlineStr"/>
    </row>
    <row r="19" ht="25" customHeight="1">
      <c r="A19" s="6" t="inlineStr">
        <is>
          <t>合计</t>
        </is>
      </c>
      <c r="J19" s="7">
        <f>SUM(J4:J18)</f>
        <v/>
      </c>
    </row>
  </sheetData>
  <mergeCells count="2">
    <mergeCell ref="A1:J1"/>
    <mergeCell ref="A19:I19"/>
  </mergeCells>
  <hyperlinks>
    <hyperlink xmlns:r="http://schemas.openxmlformats.org/officeDocument/2006/relationships" ref="J4" r:id="rId1"/>
    <hyperlink xmlns:r="http://schemas.openxmlformats.org/officeDocument/2006/relationships" ref="J5" r:id="rId2"/>
    <hyperlink xmlns:r="http://schemas.openxmlformats.org/officeDocument/2006/relationships" ref="J6" r:id="rId3"/>
    <hyperlink xmlns:r="http://schemas.openxmlformats.org/officeDocument/2006/relationships" ref="J7" r:id="rId4"/>
    <hyperlink xmlns:r="http://schemas.openxmlformats.org/officeDocument/2006/relationships" ref="J8" r:id="rId5"/>
    <hyperlink xmlns:r="http://schemas.openxmlformats.org/officeDocument/2006/relationships" ref="J12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45" customWidth="1" min="3" max="3"/>
    <col width="35" customWidth="1" min="4" max="4"/>
    <col width="35" customWidth="1" min="5" max="5"/>
  </cols>
  <sheetData>
    <row r="1" ht="30" customHeight="1">
      <c r="A1" s="1" t="inlineStr">
        <is>
          <t>硬件选型建议与理由</t>
        </is>
      </c>
    </row>
    <row r="3" ht="25" customHeight="1">
      <c r="A3" s="2" t="inlineStr">
        <is>
          <t>组件</t>
        </is>
      </c>
      <c r="B3" s="2" t="inlineStr">
        <is>
          <t>推荐型号</t>
        </is>
      </c>
      <c r="C3" s="2" t="inlineStr">
        <is>
          <t>选型理由</t>
        </is>
      </c>
      <c r="D3" s="2" t="inlineStr">
        <is>
          <t>注意事项</t>
        </is>
      </c>
      <c r="E3" s="2" t="inlineStr">
        <is>
          <t>可替代方案</t>
        </is>
      </c>
    </row>
    <row r="4" ht="60" customHeight="1">
      <c r="A4" s="8" t="inlineStr">
        <is>
          <t>温湿度传感器</t>
        </is>
      </c>
      <c r="B4" s="8" t="inlineStr">
        <is>
          <t>AHT30模块</t>
        </is>
      </c>
      <c r="C4" s="8" t="inlineStr">
        <is>
          <t>文档指定DHT30，但AHT30精度更高(±2%RH, ±0.3°C)，价格相近，支持I2C接口，库函数丰富</t>
        </is>
      </c>
      <c r="D4" s="8" t="inlineStr">
        <is>
          <t>I2C地址固定为0x38，避免与其他I2C设备地址冲突</t>
        </is>
      </c>
      <c r="E4" s="8" t="inlineStr">
        <is>
          <t>可选SHT30 (±2%RH, ±0.2°C)，价格约¥15，但性能相当</t>
        </is>
      </c>
    </row>
    <row r="5" ht="60" customHeight="1">
      <c r="A5" s="8" t="inlineStr">
        <is>
          <t>光照强度传感器</t>
        </is>
      </c>
      <c r="B5" s="8" t="inlineStr">
        <is>
          <t>BH1750FVI (GY-302)</t>
        </is>
      </c>
      <c r="C5" s="8" t="inlineStr">
        <is>
          <t>文档要求光谱强度传感器，BH1750是市场主流选择，16位精度，0-65535 lux量程，I2C接口，Arduino库成熟</t>
        </is>
      </c>
      <c r="D5" s="8" t="inlineStr">
        <is>
          <t>需注意光敏面朝上安装，避免遮挡；I2C地址可通过ADDR引脚切换(0x23/0x5C)</t>
        </is>
      </c>
      <c r="E5" s="8" t="inlineStr">
        <is>
          <t>可选TSL2561(更高精度)或VEML7700(自带中断)，价格稍高</t>
        </is>
      </c>
    </row>
    <row r="6" ht="60" customHeight="1">
      <c r="A6" s="8" t="inlineStr">
        <is>
          <t>空气质量传感器</t>
        </is>
      </c>
      <c r="B6" s="8" t="inlineStr">
        <is>
          <t>MQ-135模块</t>
        </is>
      </c>
      <c r="C6" s="8" t="inlineStr">
        <is>
          <t>MQ系列是空气质量检测的经典方案，MQ-135对氨气/苯/烟雾灵敏，价格便宜，库函数丰富</t>
        </is>
      </c>
      <c r="D6" s="8" t="inlineStr">
        <is>
          <t>预热时间约1分钟，读数需标定；建议配合比较器模块做阈值报警</t>
        </is>
      </c>
      <c r="E6" s="8" t="inlineStr">
        <is>
          <t>可选MQ-2(烟雾)或MQ-7(CO)，根据检测目标选择</t>
        </is>
      </c>
    </row>
    <row r="7" ht="60" customHeight="1">
      <c r="A7" s="8" t="inlineStr">
        <is>
          <t>摄像模块</t>
        </is>
      </c>
      <c r="B7" s="8" t="inlineStr">
        <is>
          <t>ESP32-CAM (OV2640)</t>
        </is>
      </c>
      <c r="C7" s="8" t="inlineStr">
        <is>
          <t>ESP32-CAM内置ESP32-S芯片，支持WiFi传输图像，集成OV2640摄像头，体积小巧，价格适中</t>
        </is>
      </c>
      <c r="D7" s="8" t="inlineStr">
        <is>
          <t>需要单独5V/2A供电，否则图像可能出现水纹；GPIO0需接地烧录固件</t>
        </is>
      </c>
      <c r="E7" s="8" t="inlineStr">
        <is>
          <t>可选ESP32-S3-CAM或M5Stack系列，价格稍高但性能更强</t>
        </is>
      </c>
    </row>
    <row r="8" ht="60" customHeight="1">
      <c r="A8" s="8" t="inlineStr">
        <is>
          <t>电压比较器模块</t>
        </is>
      </c>
      <c r="B8" s="8" t="inlineStr">
        <is>
          <t>LM393模块</t>
        </is>
      </c>
      <c r="C8" s="8" t="inlineStr">
        <is>
          <t>文档要求电压比较器做凝珠变色信号处理，LM393是经典双路比较器，支持宽电压(4.5-28V)，带LED指示</t>
        </is>
      </c>
      <c r="D8" s="8" t="inlineStr">
        <is>
          <t>比较阈值通过电位器调节，建议配合示波器校准</t>
        </is>
      </c>
      <c r="E8" s="8" t="inlineStr">
        <is>
          <t>可选LM339(四路)或专用阈值检测IC</t>
        </is>
      </c>
    </row>
    <row r="9" ht="60" customHeight="1">
      <c r="A9" s="8" t="inlineStr">
        <is>
          <t>微型潜水泵</t>
        </is>
      </c>
      <c r="B9" s="8" t="inlineStr">
        <is>
          <t>5V微型静音水泵</t>
        </is>
      </c>
      <c r="C9" s="8" t="inlineStr">
        <is>
          <t>灌溉场景需要静音水泵，5V供电兼容ESP32系统，流量120L/H可满足小规模灌溉</t>
        </is>
      </c>
      <c r="D9" s="8" t="inlineStr">
        <is>
          <t>进水口需加装过滤网防止堵塞；工作时电流约300mA，需单独供电</t>
        </is>
      </c>
      <c r="E9" s="8" t="inlineStr">
        <is>
          <t>可选6V/12V水泵，但需配合相应继电器和电源</t>
        </is>
      </c>
    </row>
    <row r="10" ht="60" customHeight="1">
      <c r="A10" s="8" t="inlineStr">
        <is>
          <t>5V继电器模块</t>
        </is>
      </c>
      <c r="B10" s="8" t="inlineStr">
        <is>
          <t>单路继电器模块</t>
        </is>
      </c>
      <c r="C10" s="8" t="inlineStr">
        <is>
          <t>控制水泵开关，低电平触发与Arduino/ESP32逻辑匹配，带光耦隔离保护主控</t>
        </is>
      </c>
      <c r="D10" s="8" t="inlineStr">
        <is>
          <t>NC端和NO端不要接错；每路继电器需单独5V供电</t>
        </is>
      </c>
      <c r="E10" s="8" t="inlineStr">
        <is>
          <t>可选MOS管无触点继电器，无噪音但价格稍高</t>
        </is>
      </c>
    </row>
    <row r="11" ht="60" customHeight="1">
      <c r="A11" s="8" t="inlineStr">
        <is>
          <t>主控芯片</t>
        </is>
      </c>
      <c r="B11" s="8" t="inlineStr">
        <is>
          <t>ESP32-S3-DevKitC-1</t>
        </is>
      </c>
      <c r="C11" s="8" t="inlineStr">
        <is>
          <t>文档指定ESP32-S3，支持WiFi+蓝牙5，Xtensa双核240MHz，适合边缘AI和图像处理，外设接口丰富</t>
        </is>
      </c>
      <c r="D11" s="8" t="inlineStr">
        <is>
          <t>开发时需配置WiFi信息；建议外接天线增强信号</t>
        </is>
      </c>
      <c r="E11" s="8" t="inlineStr">
        <is>
          <t>可选ESP32-C3(更便宜)或ESP32-PICO(集成度高)</t>
        </is>
      </c>
    </row>
    <row r="12" ht="60" customHeight="1">
      <c r="A12" s="8" t="inlineStr">
        <is>
          <t>18650锂电池</t>
        </is>
      </c>
      <c r="B12" s="8" t="inlineStr">
        <is>
          <t>18650 3.7V 3400mAh</t>
        </is>
      </c>
      <c r="C12" s="8" t="inlineStr">
        <is>
          <t>配合ESP32-CAM和传感器的户外供电需求，3400mAh容量可支持2-3天续航</t>
        </is>
      </c>
      <c r="D12" s="8" t="inlineStr">
        <is>
          <t>必须带保护板防止过充过放；需配合充电管理模块</t>
        </is>
      </c>
      <c r="E12" s="8" t="inlineStr">
        <is>
          <t>可选磷酸铁锂电池(3.2V)更安全但容量较低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0" customWidth="1" min="3" max="3"/>
    <col width="12" customWidth="1" min="4" max="4"/>
  </cols>
  <sheetData>
    <row r="1" ht="30" customHeight="1">
      <c r="A1" s="1" t="inlineStr">
        <is>
          <t>预算汇总</t>
        </is>
      </c>
    </row>
    <row r="3" ht="25" customHeight="1">
      <c r="A3" s="9" t="inlineStr">
        <is>
          <t>模块分类</t>
        </is>
      </c>
      <c r="B3" s="9" t="inlineStr">
        <is>
          <t>预估数量</t>
        </is>
      </c>
      <c r="C3" s="9" t="inlineStr">
        <is>
          <t>预估金额(元)</t>
        </is>
      </c>
      <c r="D3" s="9" t="inlineStr">
        <is>
          <t>占比</t>
        </is>
      </c>
    </row>
    <row r="4" ht="25" customHeight="1">
      <c r="A4" s="10" t="inlineStr">
        <is>
          <t>干旱监测模块</t>
        </is>
      </c>
      <c r="B4" s="10" t="n">
        <v>5</v>
      </c>
      <c r="C4" s="10">
        <f>选型与报价总表!H4*H4+选型与报价总表!H5*H5+选型与报价总表!H6*H6+选型与报价总表!H7*H7+选型与报价总表!H8*H8</f>
        <v/>
      </c>
      <c r="D4" s="11">
        <f>C4/C8</f>
        <v/>
      </c>
    </row>
    <row r="5" ht="25" customHeight="1">
      <c r="A5" s="10" t="inlineStr">
        <is>
          <t>补水抗旱模块</t>
        </is>
      </c>
      <c r="B5" s="10" t="n">
        <v>3</v>
      </c>
      <c r="C5" s="10">
        <f>选型与报价总表!H9*H9+选型与报价总表!H10*H10+选型与报价总表!H11*H11</f>
        <v/>
      </c>
      <c r="D5" s="11">
        <f>C5/C8</f>
        <v/>
      </c>
    </row>
    <row r="6" ht="25" customHeight="1">
      <c r="A6" s="10" t="inlineStr">
        <is>
          <t>App报警模块(主控)</t>
        </is>
      </c>
      <c r="B6" s="10" t="n">
        <v>2</v>
      </c>
      <c r="C6" s="10">
        <f>选型与报价总表!H12*H12+选型与报价总表!H13*H13</f>
        <v/>
      </c>
      <c r="D6" s="11">
        <f>C6/C8</f>
        <v/>
      </c>
    </row>
    <row r="7" ht="25" customHeight="1">
      <c r="A7" s="10" t="inlineStr">
        <is>
          <t>辅助材料</t>
        </is>
      </c>
      <c r="B7" s="10" t="n">
        <v>6</v>
      </c>
      <c r="C7" s="10">
        <f>选型与报价总表!H14*H14+选型与报价总表!H15*H15+选型与报价总表!H16*H16+选型与报价总表!H17*H17+选型与报价总表!H18*H18</f>
        <v/>
      </c>
      <c r="D7" s="11">
        <f>C7/C8</f>
        <v/>
      </c>
    </row>
    <row r="8" ht="25" customHeight="1">
      <c r="A8" s="6" t="inlineStr">
        <is>
          <t>总计</t>
        </is>
      </c>
      <c r="B8" s="6">
        <f>SUM(B4:B7)</f>
        <v/>
      </c>
      <c r="C8" s="6">
        <f>SUM(C4:C7)</f>
        <v/>
      </c>
      <c r="D8" s="6" t="inlineStr">
        <is>
          <t>100%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2026-06-16T14:07:29Z</dcterms:created>
  <dcterms:modified xsi:type="dcterms:W3CDTF">2026-06-16T14:07:29Z</dcterms:modified>
</cp:coreProperties>
</file>